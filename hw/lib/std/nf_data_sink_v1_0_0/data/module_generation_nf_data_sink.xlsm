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_rels/sheet2.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comments2.xml" ContentType="application/vnd.openxmlformats-officedocument.spreadsheetml.comments+xml"/>
  <Override PartName="/xl/drawings/vmlDrawing1.vml" ContentType="application/vnd.openxmlformats-officedocument.vmlDrawing"/>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1" activeTab="1"/>
  </bookViews>
  <sheets>
    <sheet name="New Module Generator" sheetId="1" state="hidden" r:id="rId3"/>
    <sheet name="Registers Generator" sheetId="2" state="visible" r:id="rId4"/>
  </sheet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 </author>
  </authors>
  <commentList>
    <comment ref="D2" authorId="0">
      <text>
        <r>
          <rPr>
            <sz val="11"/>
            <color rgb="FF000000"/>
            <rFont val="Calibri"/>
            <family val="2"/>
            <charset val="177"/>
          </rPr>
          <t xml:space="preserve">A unique name of the module</t>
        </r>
      </text>
    </comment>
    <comment ref="H4" authorId="0">
      <text>
        <r>
          <rPr>
            <sz val="11"/>
            <color rgb="FF000000"/>
            <rFont val="Calibri"/>
            <family val="2"/>
            <charset val="177"/>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<sst xmlns="http://schemas.openxmlformats.org/spreadsheetml/2006/main" count="166" uniqueCount="108">
  <si>
    <t xml:space="preserve">NF10 New Module Generator</t>
  </si>
  <si>
    <t xml:space="preserve">Module name:</t>
  </si>
  <si>
    <t xml:space="preserve">Verilog module name (w/o version)</t>
  </si>
  <si>
    <t xml:space="preserve">Module Version:</t>
  </si>
  <si>
    <t xml:space="preserve">1.00.a</t>
  </si>
  <si>
    <t xml:space="preserve">Module version. First version is 1.00.a</t>
  </si>
  <si>
    <t xml:space="preserve">Project Name:</t>
  </si>
  <si>
    <t xml:space="preserve">Project name (under /projects)</t>
  </si>
  <si>
    <t xml:space="preserve">AXIS Ports</t>
  </si>
  <si>
    <t xml:space="preserve">Number of S_AXIS inputs:</t>
  </si>
  <si>
    <t xml:space="preserve">Number of ingress ports to the module</t>
  </si>
  <si>
    <t xml:space="preserve">Number of M_AXIS outputs:</t>
  </si>
  <si>
    <t xml:space="preserve">Number of Egress ports from the module</t>
  </si>
  <si>
    <t xml:space="preserve">Registers</t>
  </si>
  <si>
    <t xml:space="preserve">Number of RO Registers :</t>
  </si>
  <si>
    <t xml:space="preserve">0 or more</t>
  </si>
  <si>
    <t xml:space="preserve">Number of RW Registers:</t>
  </si>
  <si>
    <t xml:space="preserve">Number of WO Registers:</t>
  </si>
  <si>
    <t xml:space="preserve">Number of base addresses:</t>
  </si>
  <si>
    <t xml:space="preserve">Number of BARs required</t>
  </si>
  <si>
    <t xml:space="preserve">Base Address:</t>
  </si>
  <si>
    <t xml:space="preserve">Auto</t>
  </si>
  <si>
    <t xml:space="preserve">Select auto to automatically assign the base address, for multiple BARs base addresses will be set by the number of registers continiousely</t>
  </si>
  <si>
    <t xml:space="preserve">Manual base Address:</t>
  </si>
  <si>
    <t xml:space="preserve">Use tables:</t>
  </si>
  <si>
    <t xml:space="preserve">No</t>
  </si>
  <si>
    <t xml:space="preserve">Number of table entries:</t>
  </si>
  <si>
    <t xml:space="preserve">Connectivity</t>
  </si>
  <si>
    <t xml:space="preserve">Base pipe:</t>
  </si>
  <si>
    <t xml:space="preserve">Reference_NIC</t>
  </si>
  <si>
    <t xml:space="preserve">Previous module:</t>
  </si>
  <si>
    <t xml:space="preserve">Manual</t>
  </si>
  <si>
    <t xml:space="preserve">Previous module (manual):</t>
  </si>
  <si>
    <t xml:space="preserve">Next Module:</t>
  </si>
  <si>
    <t xml:space="preserve">Next module (manual):</t>
  </si>
  <si>
    <t xml:space="preserve">Instantiated modules</t>
  </si>
  <si>
    <t xml:space="preserve">Number of instantiated modules (w/o registers):</t>
  </si>
  <si>
    <t xml:space="preserve">Modules 1:</t>
  </si>
  <si>
    <t xml:space="preserve">Module name (full)</t>
  </si>
  <si>
    <t xml:space="preserve">Module 2:</t>
  </si>
  <si>
    <t xml:space="preserve">Pcore version:</t>
  </si>
  <si>
    <t xml:space="preserve">2.1.0</t>
  </si>
  <si>
    <t xml:space="preserve"> Copyright (c) 2015 University of Cambridge</t>
  </si>
  <si>
    <t xml:space="preserve">OS:</t>
  </si>
  <si>
    <t xml:space="preserve">Linux</t>
  </si>
  <si>
    <t xml:space="preserve"> All rights reserved.</t>
  </si>
  <si>
    <t xml:space="preserve">This software was developed by Stanford University and the University of Cambridge Computer Laboratory under National Science Foundation under Grant No. CNS-0855268, the University of Cambridge Computer Laboratory under EPSRC INTERNET Project EP/H040536/1 and by the University of Cambridge Computer Laboratory under DARPA/AFRL contract FA8750-11-C-0249 ("MRC2"), as part of the DARPA MRC research programme.</t>
  </si>
  <si>
    <t xml:space="preserve">Block</t>
  </si>
  <si>
    <t xml:space="preserve">Address</t>
  </si>
  <si>
    <t xml:space="preserve">Description</t>
  </si>
  <si>
    <t xml:space="preserve">Type</t>
  </si>
  <si>
    <t xml:space="preserve">Bits</t>
  </si>
  <si>
    <t xml:space="preserve">Endian Type</t>
  </si>
  <si>
    <t xml:space="preserve">Access Mode</t>
  </si>
  <si>
    <t xml:space="preserve">Valid for sub-modules</t>
  </si>
  <si>
    <t xml:space="preserve">Default</t>
  </si>
  <si>
    <t xml:space="preserve">Constraints, Remarks</t>
  </si>
  <si>
    <t xml:space="preserve"> @NETFPGA_LICENSE_HEADER_START@</t>
  </si>
  <si>
    <t xml:space="preserve">NF_DATA_SINK</t>
  </si>
  <si>
    <t xml:space="preserve">Init</t>
  </si>
  <si>
    <t xml:space="preserve">NA</t>
  </si>
  <si>
    <t xml:space="preserve">When triggered, the module will perform SW reset
</t>
  </si>
  <si>
    <t xml:space="preserve">Global</t>
  </si>
  <si>
    <t xml:space="preserve">0</t>
  </si>
  <si>
    <t xml:space="preserve">Little</t>
  </si>
  <si>
    <t xml:space="preserve"> Licensed to NetFPGA C.I.C. (NetFPGA) under one or more contributor  license agreements.  See the NOTICE file distributed with this work for  additional information regarding copyright ownership.  NetFPGA licenses this</t>
  </si>
  <si>
    <t xml:space="preserve">ID</t>
  </si>
  <si>
    <t xml:space="preserve">The ID of the module, to make sure that one accesses the right module</t>
  </si>
  <si>
    <t xml:space="preserve">Reg</t>
  </si>
  <si>
    <t xml:space="preserve">31:0</t>
  </si>
  <si>
    <t xml:space="preserve">RO</t>
  </si>
  <si>
    <t xml:space="preserve">32'h0000DA06</t>
  </si>
  <si>
    <t xml:space="preserve"> file to you under the NetFPGA Hardware-Software License, Version 1.0 (the  "License"); you may not use this file except in compliance with the  License.  You may obtain a copy of the License at: http://www.netfpga-cic.org</t>
  </si>
  <si>
    <t xml:space="preserve">Version</t>
  </si>
  <si>
    <t xml:space="preserve">Version of the module</t>
  </si>
  <si>
    <t xml:space="preserve">32'h1</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</si>
  <si>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</si>
  <si>
    <t xml:space="preserve">Reset</t>
  </si>
  <si>
    <t xml:space="preserve">Reset elements of the module</t>
  </si>
  <si>
    <t xml:space="preserve">15:0</t>
  </si>
  <si>
    <t xml:space="preserve">WOE</t>
  </si>
  <si>
    <t xml:space="preserve">16'h0</t>
  </si>
  <si>
    <t xml:space="preserve"> @NETFPGA_LICENSE_HEADER_END@</t>
  </si>
  <si>
    <t xml:space="preserve">ClearCounters</t>
  </si>
  <si>
    <t xml:space="preserve">Asserting this bit, will clear all counters</t>
  </si>
  <si>
    <t xml:space="preserve">Field</t>
  </si>
  <si>
    <t xml:space="preserve">nf_10g_interface</t>
  </si>
  <si>
    <t xml:space="preserve">1'h0</t>
  </si>
  <si>
    <t xml:space="preserve">ResetRegisters</t>
  </si>
  <si>
    <t xml:space="preserve">Asserting this bit, will reset (return to default value) all registers</t>
  </si>
  <si>
    <t xml:space="preserve">4</t>
  </si>
  <si>
    <t xml:space="preserve">RFU</t>
  </si>
  <si>
    <t xml:space="preserve">Reserved for future use, reset tables</t>
  </si>
  <si>
    <t xml:space="preserve">8</t>
  </si>
  <si>
    <t xml:space="preserve">Reserved for future use, reset module</t>
  </si>
  <si>
    <t xml:space="preserve">12</t>
  </si>
  <si>
    <t xml:space="preserve">Flip</t>
  </si>
  <si>
    <t xml:space="preserve">The register returns the opposite value of what was written to it</t>
  </si>
  <si>
    <t xml:space="preserve">RWA</t>
  </si>
  <si>
    <t xml:space="preserve">32'h0</t>
  </si>
  <si>
    <t xml:space="preserve">Returned value is at reset 32'hFFFFFFFF</t>
  </si>
  <si>
    <t xml:space="preserve">Debug</t>
  </si>
  <si>
    <t xml:space="preserve">Debug Register, for simulation and debug purposes. Returns the value written to the register plus the default value.</t>
  </si>
  <si>
    <t xml:space="preserve">PktIn</t>
  </si>
  <si>
    <t xml:space="preserve">Incoming Packets Counter</t>
  </si>
  <si>
    <t xml:space="preserve">ROC</t>
  </si>
  <si>
    <t xml:space="preserve">PktSum</t>
  </si>
  <si>
    <t xml:space="preserve">Data checksum of incoming packets</t>
  </si>
</sst>
</file>

<file path=xl/styles.xml><?xml version="1.0" encoding="utf-8"?>
<styleSheet xmlns="http://schemas.openxmlformats.org/spreadsheetml/2006/main">
  <numFmts count="3">
    <numFmt numFmtId="164" formatCode="General"/>
    <numFmt numFmtId="165" formatCode="@"/>
    <numFmt numFmtId="166" formatCode="General"/>
  </numFmts>
  <fonts count="9">
    <font>
      <sz val="11"/>
      <color rgb="FF000000"/>
      <name val="Calibri"/>
      <family val="2"/>
      <charset val="177"/>
    </font>
    <font>
      <sz val="10"/>
      <name val="Arial"/>
      <family val="0"/>
    </font>
    <font>
      <sz val="10"/>
      <name val="Arial"/>
      <family val="0"/>
    </font>
    <font>
      <sz val="10"/>
      <name val="Arial"/>
      <family val="0"/>
    </font>
    <font>
      <sz val="10"/>
      <name val="Arial"/>
      <family val="2"/>
      <charset val="1"/>
    </font>
    <font>
      <b val="true"/>
      <u val="single"/>
      <sz val="18"/>
      <color rgb="FF000000"/>
      <name val="Calibri"/>
      <family val="2"/>
      <charset val="1"/>
    </font>
    <font>
      <b val="true"/>
      <sz val="12"/>
      <color rgb="FF000000"/>
      <name val="Calibri"/>
      <family val="2"/>
      <charset val="1"/>
    </font>
    <font>
      <sz val="7"/>
      <name val="Arial"/>
      <family val="2"/>
      <charset val="1"/>
    </font>
    <font>
      <b val="true"/>
      <sz val="10"/>
      <name val="Arial"/>
      <family val="2"/>
      <charset val="1"/>
    </font>
  </fonts>
  <fills count="6">
    <fill>
      <patternFill patternType="none"/>
    </fill>
    <fill>
      <patternFill patternType="gray125"/>
    </fill>
    <fill>
      <patternFill patternType="solid">
        <fgColor rgb="FFCCFFFF"/>
        <bgColor rgb="FFCCFFFF"/>
      </patternFill>
    </fill>
    <fill>
      <patternFill patternType="solid">
        <fgColor rgb="FFD0CECE"/>
        <bgColor rgb="FFD9D9D9"/>
      </patternFill>
    </fill>
    <fill>
      <patternFill patternType="solid">
        <fgColor rgb="FF99CCFF"/>
        <bgColor rgb="FFD0CECE"/>
      </patternFill>
    </fill>
    <fill>
      <patternFill patternType="solid">
        <fgColor rgb="FFFFCC99"/>
        <bgColor rgb="FFD0CECE"/>
      </patternFill>
    </fill>
  </fills>
  <borders count="3">
    <border diagonalUp="false" diagonalDown="false">
      <left/>
      <right/>
      <top/>
      <bottom/>
      <diagonal/>
    </border>
    <border diagonalUp="false" diagonalDown="false">
      <left style="medium"/>
      <right style="medium"/>
      <top style="medium"/>
      <bottom style="medium"/>
      <diagonal/>
    </border>
    <border diagonalUp="false" diagonalDown="false">
      <left style="thin"/>
      <right style="thin"/>
      <top style="thin"/>
      <bottom style="thin"/>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bottom" textRotation="0" wrapText="false" indent="0" shrinkToFit="false"/>
      <protection locked="true" hidden="false"/>
    </xf>
  </cellStyleXfs>
  <cellXfs count="45">
    <xf numFmtId="164" fontId="0" fillId="0"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0" fillId="2" borderId="1" xfId="0" applyFont="false" applyBorder="tru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0" fillId="2" borderId="1" xfId="0" applyFont="true" applyBorder="true" applyAlignment="false" applyProtection="false">
      <alignment horizontal="general" vertical="bottom" textRotation="0" wrapText="false" indent="0" shrinkToFit="false"/>
      <protection locked="true" hidden="false"/>
    </xf>
    <xf numFmtId="164" fontId="0" fillId="3" borderId="1" xfId="0" applyFont="false" applyBorder="true" applyAlignment="false" applyProtection="false">
      <alignment horizontal="general" vertical="bottom" textRotation="0" wrapText="false" indent="0" shrinkToFit="false"/>
      <protection locked="true" hidden="false"/>
    </xf>
    <xf numFmtId="164" fontId="0" fillId="3" borderId="1" xfId="0" applyFont="true" applyBorder="true" applyAlignment="false" applyProtection="false">
      <alignment horizontal="general" vertical="bottom" textRotation="0" wrapText="false" indent="0" shrinkToFit="false"/>
      <protection locked="true" hidden="false"/>
    </xf>
    <xf numFmtId="164" fontId="4" fillId="0" borderId="0" xfId="20" applyFont="true" applyBorder="false" applyAlignment="true" applyProtection="false">
      <alignment horizontal="general" vertical="top" textRotation="0" wrapText="false" indent="0" shrinkToFit="false"/>
      <protection locked="true" hidden="false"/>
    </xf>
    <xf numFmtId="164" fontId="4" fillId="0" borderId="0" xfId="20" applyFont="true" applyBorder="false" applyAlignment="true" applyProtection="false">
      <alignment horizontal="left" vertical="top" textRotation="0" wrapText="false" indent="0" shrinkToFit="false"/>
      <protection locked="true" hidden="false"/>
    </xf>
    <xf numFmtId="164" fontId="4" fillId="0" borderId="0" xfId="0" applyFont="true" applyBorder="false" applyAlignment="true" applyProtection="false">
      <alignment horizontal="general" vertical="top" textRotation="0" wrapText="true" indent="0" shrinkToFit="false"/>
      <protection locked="true" hidden="false"/>
    </xf>
    <xf numFmtId="165" fontId="4" fillId="0" borderId="0" xfId="20" applyFont="true" applyBorder="false" applyAlignment="true" applyProtection="false">
      <alignment horizontal="center" vertical="top" textRotation="0" wrapText="false" indent="0" shrinkToFit="false"/>
      <protection locked="true" hidden="false"/>
    </xf>
    <xf numFmtId="164" fontId="4" fillId="0" borderId="0" xfId="20" applyFont="true" applyBorder="false" applyAlignment="true" applyProtection="false">
      <alignment horizontal="center" vertical="top" textRotation="0" wrapText="true" indent="0" shrinkToFit="false"/>
      <protection locked="true" hidden="false"/>
    </xf>
    <xf numFmtId="165" fontId="4" fillId="0" borderId="0" xfId="20" applyFont="true" applyBorder="false" applyAlignment="true" applyProtection="false">
      <alignment horizontal="center" vertical="top" textRotation="0" wrapText="true" indent="0" shrinkToFit="false"/>
      <protection locked="true" hidden="false"/>
    </xf>
    <xf numFmtId="164" fontId="7" fillId="0" borderId="0" xfId="20" applyFont="true" applyBorder="false" applyAlignment="false" applyProtection="false">
      <alignment horizontal="general" vertical="bottom" textRotation="0" wrapText="false" indent="0" shrinkToFit="false"/>
      <protection locked="true" hidden="false"/>
    </xf>
    <xf numFmtId="164" fontId="0" fillId="4" borderId="2" xfId="0" applyFont="true" applyBorder="true" applyAlignment="true" applyProtection="false">
      <alignment horizontal="general" vertical="top" textRotation="0" wrapText="true" indent="0" shrinkToFit="false"/>
      <protection locked="true" hidden="false"/>
    </xf>
    <xf numFmtId="164" fontId="7" fillId="0" borderId="0" xfId="20" applyFont="true" applyBorder="false" applyAlignment="true" applyProtection="false">
      <alignment horizontal="general" vertical="top" textRotation="0" wrapText="true" indent="0" shrinkToFit="false"/>
      <protection locked="true" hidden="false"/>
    </xf>
    <xf numFmtId="164" fontId="8" fillId="5" borderId="2" xfId="0" applyFont="true" applyBorder="true" applyAlignment="true" applyProtection="false">
      <alignment horizontal="left" vertical="top" textRotation="0" wrapText="false" indent="0" shrinkToFit="false"/>
      <protection locked="true" hidden="false"/>
    </xf>
    <xf numFmtId="164" fontId="8" fillId="5" borderId="2" xfId="0" applyFont="true" applyBorder="true" applyAlignment="true" applyProtection="false">
      <alignment horizontal="left" vertical="top" textRotation="0" wrapText="true" indent="0" shrinkToFit="false"/>
      <protection locked="true" hidden="false"/>
    </xf>
    <xf numFmtId="165" fontId="8" fillId="5" borderId="2" xfId="0" applyFont="true" applyBorder="true" applyAlignment="true" applyProtection="false">
      <alignment horizontal="left" vertical="top" textRotation="0" wrapText="false" indent="0" shrinkToFit="false"/>
      <protection locked="true" hidden="false"/>
    </xf>
    <xf numFmtId="165" fontId="8" fillId="5" borderId="2" xfId="0" applyFont="true" applyBorder="true" applyAlignment="true" applyProtection="false">
      <alignment horizontal="left" vertical="top" textRotation="0" wrapText="true" indent="0" shrinkToFit="false"/>
      <protection locked="true" hidden="false"/>
    </xf>
    <xf numFmtId="164" fontId="7" fillId="0" borderId="0" xfId="20" applyFont="true" applyBorder="false" applyAlignment="true" applyProtection="false">
      <alignment horizontal="general" vertical="top" textRotation="0" wrapText="false" indent="0" shrinkToFit="false"/>
      <protection locked="true" hidden="false"/>
    </xf>
    <xf numFmtId="164" fontId="0" fillId="4" borderId="2" xfId="0" applyFont="true" applyBorder="true" applyAlignment="true" applyProtection="false">
      <alignment horizontal="left" vertical="top" textRotation="0" wrapText="false" indent="0" shrinkToFit="false"/>
      <protection locked="true" hidden="false"/>
    </xf>
    <xf numFmtId="164" fontId="0" fillId="4" borderId="2" xfId="0" applyFont="true" applyBorder="true" applyAlignment="true" applyProtection="false">
      <alignment horizontal="left" vertical="top" textRotation="0" wrapText="true" indent="0" shrinkToFit="false"/>
      <protection locked="true" hidden="false"/>
    </xf>
    <xf numFmtId="165" fontId="0" fillId="4" borderId="2" xfId="0" applyFont="true" applyBorder="true" applyAlignment="true" applyProtection="false">
      <alignment horizontal="left" vertical="top" textRotation="0" wrapText="false" indent="0" shrinkToFit="false"/>
      <protection locked="true" hidden="false"/>
    </xf>
    <xf numFmtId="165" fontId="0" fillId="4" borderId="2" xfId="0" applyFont="false" applyBorder="true" applyAlignment="true" applyProtection="false">
      <alignment horizontal="left" vertical="top" textRotation="0" wrapText="tru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6" fontId="4" fillId="4" borderId="2" xfId="20" applyFont="true" applyBorder="true" applyAlignment="true" applyProtection="false">
      <alignment horizontal="left" vertical="top" textRotation="0" wrapText="false" indent="0" shrinkToFit="false"/>
      <protection locked="true" hidden="false"/>
    </xf>
    <xf numFmtId="164" fontId="4" fillId="4" borderId="2" xfId="20" applyFont="true" applyBorder="true" applyAlignment="true" applyProtection="false">
      <alignment horizontal="left" vertical="top" textRotation="0" wrapText="false" indent="0" shrinkToFit="false"/>
      <protection locked="true" hidden="false"/>
    </xf>
    <xf numFmtId="165" fontId="4" fillId="4" borderId="2" xfId="20" applyFont="true" applyBorder="true" applyAlignment="true" applyProtection="false">
      <alignment horizontal="left" vertical="top" textRotation="0" wrapText="false" indent="0" shrinkToFit="false"/>
      <protection locked="true" hidden="false"/>
    </xf>
    <xf numFmtId="164" fontId="4" fillId="4" borderId="2" xfId="20" applyFont="true" applyBorder="true" applyAlignment="true" applyProtection="false">
      <alignment horizontal="left" vertical="top" textRotation="0" wrapText="true" indent="0" shrinkToFit="false"/>
      <protection locked="true" hidden="false"/>
    </xf>
    <xf numFmtId="165" fontId="4" fillId="4" borderId="2" xfId="20" applyFont="true" applyBorder="true" applyAlignment="true" applyProtection="false">
      <alignment horizontal="left" vertical="top" textRotation="0" wrapText="true" indent="0" shrinkToFit="false"/>
      <protection locked="true" hidden="false"/>
    </xf>
    <xf numFmtId="164" fontId="0" fillId="4" borderId="2" xfId="0" applyFont="true" applyBorder="true" applyAlignment="true" applyProtection="false">
      <alignment horizontal="general" vertical="top" textRotation="0" wrapText="false" indent="0" shrinkToFit="false"/>
      <protection locked="true" hidden="false"/>
    </xf>
    <xf numFmtId="164" fontId="4" fillId="4" borderId="2" xfId="20" applyFont="true" applyBorder="true" applyAlignment="true" applyProtection="false">
      <alignment horizontal="general" vertical="top" textRotation="0" wrapText="false" indent="0" shrinkToFit="false"/>
      <protection locked="true" hidden="false"/>
    </xf>
    <xf numFmtId="165" fontId="4" fillId="4" borderId="2" xfId="20" applyFont="true" applyBorder="true" applyAlignment="true" applyProtection="false">
      <alignment horizontal="center" vertical="top" textRotation="0" wrapText="false" indent="0" shrinkToFit="false"/>
      <protection locked="true" hidden="false"/>
    </xf>
    <xf numFmtId="164" fontId="0" fillId="4" borderId="2" xfId="0" applyFont="true" applyBorder="true" applyAlignment="true" applyProtection="false">
      <alignment horizontal="center" vertical="top" textRotation="0" wrapText="true" indent="0" shrinkToFit="false"/>
      <protection locked="true" hidden="false"/>
    </xf>
    <xf numFmtId="164" fontId="4" fillId="4" borderId="2" xfId="20" applyFont="true" applyBorder="true" applyAlignment="true" applyProtection="false">
      <alignment horizontal="center" vertical="top" textRotation="0" wrapText="true" indent="0" shrinkToFit="false"/>
      <protection locked="true" hidden="false"/>
    </xf>
    <xf numFmtId="165" fontId="4" fillId="4" borderId="2" xfId="20" applyFont="true" applyBorder="true" applyAlignment="true" applyProtection="false">
      <alignment horizontal="center" vertical="top" textRotation="0" wrapText="true" indent="0" shrinkToFit="false"/>
      <protection locked="true" hidden="false"/>
    </xf>
    <xf numFmtId="164" fontId="0" fillId="0" borderId="2" xfId="0" applyFont="false" applyBorder="true" applyAlignment="true" applyProtection="false">
      <alignment horizontal="general" vertical="top" textRotation="0" wrapText="false" indent="0" shrinkToFit="false"/>
      <protection locked="true" hidden="false"/>
    </xf>
    <xf numFmtId="164" fontId="4" fillId="0" borderId="2" xfId="20" applyFont="false" applyBorder="true" applyAlignment="false" applyProtection="false">
      <alignment horizontal="general" vertical="bottom" textRotation="0" wrapText="false" indent="0" shrinkToFit="false"/>
      <protection locked="true" hidden="false"/>
    </xf>
    <xf numFmtId="164" fontId="0" fillId="0" borderId="2" xfId="0" applyFont="true" applyBorder="true" applyAlignment="true" applyProtection="false">
      <alignment horizontal="general" vertical="top" textRotation="0" wrapText="true" indent="0" shrinkToFit="false"/>
      <protection locked="true" hidden="false"/>
    </xf>
    <xf numFmtId="165" fontId="0" fillId="0" borderId="2" xfId="0" applyFont="true" applyBorder="true" applyAlignment="true" applyProtection="false">
      <alignment horizontal="general" vertical="top" textRotation="0" wrapText="false" indent="0" shrinkToFit="false"/>
      <protection locked="true" hidden="false"/>
    </xf>
    <xf numFmtId="164" fontId="0" fillId="0" borderId="2" xfId="0" applyFont="true" applyBorder="true" applyAlignment="true" applyProtection="false">
      <alignment horizontal="center" vertical="top" textRotation="0" wrapText="true" indent="0" shrinkToFit="false"/>
      <protection locked="true" hidden="false"/>
    </xf>
    <xf numFmtId="165" fontId="4" fillId="0" borderId="2" xfId="20" applyFont="true" applyBorder="true" applyAlignment="true" applyProtection="false">
      <alignment horizontal="center" vertical="top" textRotation="0" wrapText="true" indent="0" shrinkToFit="false"/>
      <protection locked="true" hidden="false"/>
    </xf>
    <xf numFmtId="165" fontId="0" fillId="0" borderId="2" xfId="0" applyFont="true" applyBorder="true" applyAlignment="true" applyProtection="false">
      <alignment horizontal="center" vertical="top" textRotation="0" wrapText="true" indent="0" shrinkToFit="false"/>
      <protection locked="true" hidden="false"/>
    </xf>
    <xf numFmtId="164" fontId="4" fillId="0" borderId="0" xfId="20" applyFont="false" applyBorder="false" applyAlignment="false" applyProtection="fals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Normal_qdr_cpu2" xfId="20"/>
  </cellStyles>
  <dxfs count="4">
    <dxf>
      <fill>
        <patternFill>
          <bgColor rgb="FFD9D9D9"/>
        </patternFill>
      </fill>
    </dxf>
    <dxf>
      <fill>
        <patternFill>
          <bgColor rgb="FFD9D9D9"/>
        </patternFill>
      </fill>
    </dxf>
    <dxf>
      <fill>
        <patternFill>
          <bgColor rgb="FFCCFFFF"/>
        </patternFill>
      </fill>
    </dxf>
    <dxf>
      <fill>
        <patternFill>
          <bgColor rgb="FFCCFFFF"/>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D0CECE"/>
      <rgbColor rgb="FF808080"/>
      <rgbColor rgb="FF9999FF"/>
      <rgbColor rgb="FF993366"/>
      <rgbColor rgb="FFFFFFCC"/>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sharedStrings" Target="sharedStrings.xml"/>
</Relationships>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F56"/>
  <sheetViews>
    <sheetView showFormulas="false" showGridLines="true" showRowColHeaders="true" showZeros="true" rightToLeft="false" tabSelected="false" showOutlineSymbols="true" defaultGridColor="true" view="normal" topLeftCell="A10" colorId="64" zoomScale="143" zoomScaleNormal="143" zoomScalePageLayoutView="100" workbookViewId="0">
      <selection pane="topLeft" activeCell="L34" activeCellId="0" sqref="L34"/>
    </sheetView>
  </sheetViews>
  <sheetFormatPr defaultColWidth="8.54296875" defaultRowHeight="15" zeroHeight="false" outlineLevelRow="0" outlineLevelCol="0"/>
  <cols>
    <col collapsed="false" customWidth="true" hidden="false" outlineLevel="0" max="1" min="1" style="0" width="24.15"/>
    <col collapsed="false" customWidth="true" hidden="false" outlineLevel="0" max="3" min="3" style="0" width="12.71"/>
    <col collapsed="false" customWidth="true" hidden="false" outlineLevel="0" max="4" min="4" style="0" width="15"/>
  </cols>
  <sheetData>
    <row r="1" customFormat="false" ht="23.25" hidden="false" customHeight="false" outlineLevel="0" collapsed="false">
      <c r="A1" s="1" t="s">
        <v>0</v>
      </c>
    </row>
    <row r="2" customFormat="false" ht="3.75" hidden="false" customHeight="true" outlineLevel="0" collapsed="false"/>
    <row r="4" customFormat="false" ht="17.25" hidden="false" customHeight="true" outlineLevel="0" collapsed="false"/>
    <row r="5" customFormat="false" ht="3.75" hidden="false" customHeight="true" outlineLevel="0" collapsed="false"/>
    <row r="6" customFormat="false" ht="15.75" hidden="false" customHeight="false" outlineLevel="0" collapsed="false">
      <c r="A6" s="0" t="s">
        <v>1</v>
      </c>
      <c r="D6" s="2"/>
      <c r="F6" s="0" t="s">
        <v>2</v>
      </c>
    </row>
    <row r="7" customFormat="false" ht="3.75" hidden="false" customHeight="true" outlineLevel="0" collapsed="false"/>
    <row r="8" customFormat="false" ht="15.75" hidden="false" customHeight="false" outlineLevel="0" collapsed="false">
      <c r="A8" s="0" t="s">
        <v>3</v>
      </c>
      <c r="D8" s="2" t="s">
        <v>4</v>
      </c>
      <c r="F8" s="0" t="s">
        <v>5</v>
      </c>
    </row>
    <row r="9" customFormat="false" ht="3.75" hidden="false" customHeight="true" outlineLevel="0" collapsed="false"/>
    <row r="10" customFormat="false" ht="15.75" hidden="false" customHeight="false" outlineLevel="0" collapsed="false">
      <c r="A10" s="0" t="s">
        <v>6</v>
      </c>
      <c r="D10" s="2"/>
      <c r="F10" s="0" t="s">
        <v>7</v>
      </c>
    </row>
    <row r="11" customFormat="false" ht="3.75" hidden="false" customHeight="true" outlineLevel="0" collapsed="false"/>
    <row r="12" customFormat="false" ht="15.75" hidden="false" customHeight="false" outlineLevel="0" collapsed="false">
      <c r="A12" s="3" t="s">
        <v>8</v>
      </c>
    </row>
    <row r="13" customFormat="false" ht="3.75" hidden="false" customHeight="true" outlineLevel="0" collapsed="false"/>
    <row r="14" customFormat="false" ht="15.75" hidden="false" customHeight="false" outlineLevel="0" collapsed="false">
      <c r="A14" s="0" t="s">
        <v>9</v>
      </c>
      <c r="D14" s="2"/>
      <c r="F14" s="0" t="s">
        <v>10</v>
      </c>
    </row>
    <row r="15" customFormat="false" ht="3.75" hidden="false" customHeight="true" outlineLevel="0" collapsed="false"/>
    <row r="16" customFormat="false" ht="15.75" hidden="false" customHeight="false" outlineLevel="0" collapsed="false">
      <c r="A16" s="0" t="s">
        <v>11</v>
      </c>
      <c r="D16" s="2"/>
      <c r="F16" s="0" t="s">
        <v>12</v>
      </c>
    </row>
    <row r="17" customFormat="false" ht="3.75" hidden="false" customHeight="true" outlineLevel="0" collapsed="false"/>
    <row r="18" customFormat="false" ht="15.75" hidden="false" customHeight="false" outlineLevel="0" collapsed="false">
      <c r="A18" s="3" t="s">
        <v>13</v>
      </c>
    </row>
    <row r="19" customFormat="false" ht="3.75" hidden="false" customHeight="true" outlineLevel="0" collapsed="false"/>
    <row r="20" customFormat="false" ht="15.75" hidden="false" customHeight="false" outlineLevel="0" collapsed="false">
      <c r="A20" s="0" t="s">
        <v>14</v>
      </c>
      <c r="D20" s="2"/>
      <c r="F20" s="0" t="s">
        <v>15</v>
      </c>
    </row>
    <row r="21" customFormat="false" ht="3.75" hidden="false" customHeight="true" outlineLevel="0" collapsed="false"/>
    <row r="22" customFormat="false" ht="15.75" hidden="false" customHeight="false" outlineLevel="0" collapsed="false">
      <c r="A22" s="0" t="s">
        <v>16</v>
      </c>
      <c r="D22" s="2"/>
      <c r="F22" s="0" t="s">
        <v>15</v>
      </c>
    </row>
    <row r="23" customFormat="false" ht="3.75" hidden="false" customHeight="true" outlineLevel="0" collapsed="false"/>
    <row r="24" customFormat="false" ht="15.75" hidden="false" customHeight="false" outlineLevel="0" collapsed="false">
      <c r="A24" s="0" t="s">
        <v>17</v>
      </c>
      <c r="D24" s="2"/>
      <c r="F24" s="0" t="s">
        <v>15</v>
      </c>
    </row>
    <row r="25" customFormat="false" ht="3.75" hidden="false" customHeight="true" outlineLevel="0" collapsed="false"/>
    <row r="26" customFormat="false" ht="15.75" hidden="false" customHeight="false" outlineLevel="0" collapsed="false">
      <c r="A26" s="0" t="s">
        <v>18</v>
      </c>
      <c r="D26" s="2"/>
      <c r="F26" s="0" t="s">
        <v>19</v>
      </c>
    </row>
    <row r="27" customFormat="false" ht="3.75" hidden="false" customHeight="true" outlineLevel="0" collapsed="false"/>
    <row r="28" customFormat="false" ht="15.75" hidden="false" customHeight="false" outlineLevel="0" collapsed="false">
      <c r="A28" s="0" t="s">
        <v>20</v>
      </c>
      <c r="D28" s="4" t="s">
        <v>21</v>
      </c>
      <c r="F28" s="0" t="s">
        <v>22</v>
      </c>
    </row>
    <row r="29" customFormat="false" ht="3.75" hidden="false" customHeight="true" outlineLevel="0" collapsed="false"/>
    <row r="30" customFormat="false" ht="15.75" hidden="false" customHeight="false" outlineLevel="0" collapsed="false">
      <c r="A30" s="0" t="s">
        <v>23</v>
      </c>
      <c r="D30" s="2"/>
    </row>
    <row r="31" customFormat="false" ht="3.75" hidden="false" customHeight="true" outlineLevel="0" collapsed="false"/>
    <row r="32" customFormat="false" ht="15.75" hidden="false" customHeight="false" outlineLevel="0" collapsed="false">
      <c r="A32" s="0" t="s">
        <v>24</v>
      </c>
      <c r="D32" s="4" t="s">
        <v>25</v>
      </c>
    </row>
    <row r="33" customFormat="false" ht="3.75" hidden="false" customHeight="true" outlineLevel="0" collapsed="false"/>
    <row r="34" customFormat="false" ht="15.75" hidden="false" customHeight="false" outlineLevel="0" collapsed="false">
      <c r="A34" s="0" t="s">
        <v>26</v>
      </c>
      <c r="D34" s="2"/>
    </row>
    <row r="35" customFormat="false" ht="3.75" hidden="false" customHeight="true" outlineLevel="0" collapsed="false"/>
    <row r="36" customFormat="false" ht="15.75" hidden="false" customHeight="false" outlineLevel="0" collapsed="false">
      <c r="A36" s="3" t="s">
        <v>27</v>
      </c>
    </row>
    <row r="37" customFormat="false" ht="3.75" hidden="false" customHeight="true" outlineLevel="0" collapsed="false"/>
    <row r="38" customFormat="false" ht="15.75" hidden="false" customHeight="false" outlineLevel="0" collapsed="false">
      <c r="A38" s="0" t="s">
        <v>28</v>
      </c>
      <c r="D38" s="4" t="s">
        <v>29</v>
      </c>
    </row>
    <row r="39" customFormat="false" ht="3.75" hidden="false" customHeight="true" outlineLevel="0" collapsed="false"/>
    <row r="40" customFormat="false" ht="15.75" hidden="false" customHeight="false" outlineLevel="0" collapsed="false">
      <c r="A40" s="0" t="s">
        <v>30</v>
      </c>
      <c r="D40" s="4" t="s">
        <v>31</v>
      </c>
    </row>
    <row r="41" customFormat="false" ht="3.75" hidden="false" customHeight="true" outlineLevel="0" collapsed="false"/>
    <row r="42" customFormat="false" ht="15.75" hidden="false" customHeight="false" outlineLevel="0" collapsed="false">
      <c r="A42" s="0" t="s">
        <v>32</v>
      </c>
      <c r="D42" s="5"/>
    </row>
    <row r="43" customFormat="false" ht="3.75" hidden="false" customHeight="true" outlineLevel="0" collapsed="false"/>
    <row r="44" customFormat="false" ht="15.75" hidden="false" customHeight="false" outlineLevel="0" collapsed="false">
      <c r="A44" s="0" t="s">
        <v>33</v>
      </c>
      <c r="D44" s="4"/>
    </row>
    <row r="45" customFormat="false" ht="3.75" hidden="false" customHeight="true" outlineLevel="0" collapsed="false"/>
    <row r="46" customFormat="false" ht="15.75" hidden="false" customHeight="false" outlineLevel="0" collapsed="false">
      <c r="A46" s="0" t="s">
        <v>34</v>
      </c>
      <c r="D46" s="5"/>
    </row>
    <row r="47" customFormat="false" ht="3.75" hidden="false" customHeight="true" outlineLevel="0" collapsed="false"/>
    <row r="48" customFormat="false" ht="15.75" hidden="false" customHeight="false" outlineLevel="0" collapsed="false">
      <c r="A48" s="3" t="s">
        <v>35</v>
      </c>
    </row>
    <row r="49" customFormat="false" ht="3.75" hidden="false" customHeight="true" outlineLevel="0" collapsed="false"/>
    <row r="50" customFormat="false" ht="15.75" hidden="false" customHeight="false" outlineLevel="0" collapsed="false">
      <c r="A50" s="0" t="s">
        <v>36</v>
      </c>
      <c r="D50" s="2"/>
      <c r="F50" s="0" t="s">
        <v>15</v>
      </c>
    </row>
    <row r="51" customFormat="false" ht="3.75" hidden="false" customHeight="true" outlineLevel="0" collapsed="false"/>
    <row r="52" customFormat="false" ht="15.75" hidden="false" customHeight="false" outlineLevel="0" collapsed="false">
      <c r="A52" s="0" t="s">
        <v>37</v>
      </c>
      <c r="D52" s="2"/>
      <c r="F52" s="0" t="s">
        <v>38</v>
      </c>
    </row>
    <row r="53" customFormat="false" ht="3.75" hidden="false" customHeight="true" outlineLevel="0" collapsed="false"/>
    <row r="54" customFormat="false" ht="15.75" hidden="false" customHeight="false" outlineLevel="0" collapsed="false">
      <c r="A54" s="0" t="s">
        <v>39</v>
      </c>
      <c r="D54" s="2"/>
      <c r="F54" s="0" t="s">
        <v>38</v>
      </c>
    </row>
    <row r="55" customFormat="false" ht="3.75" hidden="false" customHeight="true" outlineLevel="0" collapsed="false"/>
    <row r="56" customFormat="false" ht="15.75" hidden="false" customHeight="false" outlineLevel="0" collapsed="false">
      <c r="A56" s="0" t="s">
        <v>40</v>
      </c>
      <c r="D56" s="6" t="s">
        <v>41</v>
      </c>
    </row>
  </sheetData>
  <conditionalFormatting sqref="D30">
    <cfRule type="expression" priority="2" aboveAverage="0" equalAverage="0" bottom="0" percent="0" rank="0" text="" dxfId="0">
      <formula>$D$28="Auto"</formula>
    </cfRule>
  </conditionalFormatting>
  <conditionalFormatting sqref="D34">
    <cfRule type="expression" priority="3" aboveAverage="0" equalAverage="0" bottom="0" percent="0" rank="0" text="" dxfId="1">
      <formula>$D$32="No"</formula>
    </cfRule>
  </conditionalFormatting>
  <conditionalFormatting sqref="D42">
    <cfRule type="expression" priority="4" aboveAverage="0" equalAverage="0" bottom="0" percent="0" rank="0" text="" dxfId="2">
      <formula>($D$40="Manual")</formula>
    </cfRule>
  </conditionalFormatting>
  <conditionalFormatting sqref="D46">
    <cfRule type="expression" priority="5" aboveAverage="0" equalAverage="0" bottom="0" percent="0" rank="0" text="" dxfId="3">
      <formula>($D$44="Manual")</formula>
    </cfRule>
  </conditionalFormatting>
  <dataValidations count="7">
    <dataValidation allowBlank="true" errorStyle="stop" operator="between" showDropDown="false" showErrorMessage="true" showInputMessage="true" sqref="D26" type="list">
      <formula1>"0,1,2,3"</formula1>
      <formula2>0</formula2>
    </dataValidation>
    <dataValidation allowBlank="true" errorStyle="stop" operator="between" showDropDown="false" showErrorMessage="true" showInputMessage="true" sqref="D28" type="list">
      <formula1>"Auto,Manual"</formula1>
      <formula2>0</formula2>
    </dataValidation>
    <dataValidation allowBlank="true" errorStyle="stop" operator="between" showDropDown="false" showErrorMessage="true" showInputMessage="true" sqref="D32" type="list">
      <formula1>"Yes,No"</formula1>
      <formula2>0</formula2>
    </dataValidation>
    <dataValidation allowBlank="true" errorStyle="stop" operator="between" showDropDown="false" showErrorMessage="true" showInputMessage="true" sqref="D38" type="list">
      <formula1>"Reference_NIC,Reference_Switch,Reference_Router"</formula1>
      <formula2>0</formula2>
    </dataValidation>
    <dataValidation allowBlank="true" errorStyle="stop" operator="between" showDropDown="false" showErrorMessage="true" showInputMessage="true" sqref="G43" type="list">
      <formula1>"nf_10g_interface,input_arbiter,OPL,output queues"</formula1>
      <formula2>0</formula2>
    </dataValidation>
    <dataValidation allowBlank="true" errorStyle="stop" operator="between" showDropDown="false" showErrorMessage="true" showInputMessage="true" sqref="D40:D41 D44" type="list">
      <formula1>"nf_10g_interface,input_arbiter,OPL,output_queues,Manual"</formula1>
      <formula2>0</formula2>
    </dataValidation>
    <dataValidation allowBlank="true" errorStyle="stop" operator="between" showDropDown="false" showErrorMessage="true" showInputMessage="true" sqref="D56" type="list">
      <formula1>"2.1.0"</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0" fitToHeight="1" pageOrder="downThenOver" orientation="landscape"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L1048576"/>
  <sheetViews>
    <sheetView showFormulas="false" showGridLines="true" showRowColHeaders="true" showZeros="true" rightToLeft="false" tabSelected="true" showOutlineSymbols="true" defaultGridColor="true" view="normal" topLeftCell="A1" colorId="64" zoomScale="143" zoomScaleNormal="143" zoomScalePageLayoutView="100" workbookViewId="0">
      <selection pane="topLeft" activeCell="D41" activeCellId="0" sqref="D41"/>
    </sheetView>
  </sheetViews>
  <sheetFormatPr defaultColWidth="9.14453125" defaultRowHeight="12.75" zeroHeight="false" outlineLevelRow="0" outlineLevelCol="0"/>
  <cols>
    <col collapsed="false" customWidth="true" hidden="false" outlineLevel="0" max="1" min="1" style="7" width="15.14"/>
    <col collapsed="false" customWidth="true" hidden="false" outlineLevel="0" max="2" min="2" style="7" width="19.14"/>
    <col collapsed="false" customWidth="true" hidden="false" outlineLevel="0" max="3" min="3" style="8" width="9.28"/>
    <col collapsed="false" customWidth="true" hidden="false" outlineLevel="0" max="4" min="4" style="9" width="57.42"/>
    <col collapsed="false" customWidth="true" hidden="false" outlineLevel="0" max="5" min="5" style="7" width="7.43"/>
    <col collapsed="false" customWidth="true" hidden="false" outlineLevel="0" max="6" min="6" style="10" width="9.7"/>
    <col collapsed="false" customWidth="true" hidden="false" outlineLevel="0" max="7" min="7" style="11" width="7.28"/>
    <col collapsed="false" customWidth="true" hidden="false" outlineLevel="0" max="8" min="8" style="12" width="8"/>
    <col collapsed="false" customWidth="true" hidden="false" outlineLevel="0" max="9" min="9" style="12" width="15.14"/>
    <col collapsed="false" customWidth="true" hidden="false" outlineLevel="0" max="10" min="10" style="7" width="13.14"/>
    <col collapsed="false" customWidth="true" hidden="false" outlineLevel="0" max="11" min="11" style="7" width="35.85"/>
    <col collapsed="false" customWidth="true" hidden="false" outlineLevel="0" max="12" min="12" style="7" width="188.57"/>
    <col collapsed="false" customWidth="false" hidden="false" outlineLevel="0" max="256" min="13" style="7" width="9.14"/>
    <col collapsed="false" customWidth="true" hidden="false" outlineLevel="0" max="257" min="257" style="7" width="6"/>
    <col collapsed="false" customWidth="true" hidden="false" outlineLevel="0" max="258" min="258" style="7" width="33.43"/>
    <col collapsed="false" customWidth="true" hidden="false" outlineLevel="0" max="259" min="259" style="7" width="14.85"/>
    <col collapsed="false" customWidth="true" hidden="false" outlineLevel="0" max="260" min="260" style="7" width="44.14"/>
    <col collapsed="false" customWidth="true" hidden="false" outlineLevel="0" max="261" min="261" style="7" width="6.28"/>
    <col collapsed="false" customWidth="true" hidden="false" outlineLevel="0" max="262" min="262" style="7" width="5.57"/>
    <col collapsed="false" customWidth="true" hidden="false" outlineLevel="0" max="263" min="263" style="7" width="7.7"/>
    <col collapsed="false" customWidth="true" hidden="false" outlineLevel="0" max="265" min="264" style="7" width="8.7"/>
    <col collapsed="false" customWidth="true" hidden="false" outlineLevel="0" max="266" min="266" style="7" width="27.3"/>
    <col collapsed="false" customWidth="false" hidden="false" outlineLevel="0" max="512" min="267" style="7" width="9.14"/>
    <col collapsed="false" customWidth="true" hidden="false" outlineLevel="0" max="513" min="513" style="7" width="6"/>
    <col collapsed="false" customWidth="true" hidden="false" outlineLevel="0" max="514" min="514" style="7" width="33.43"/>
    <col collapsed="false" customWidth="true" hidden="false" outlineLevel="0" max="515" min="515" style="7" width="14.85"/>
    <col collapsed="false" customWidth="true" hidden="false" outlineLevel="0" max="516" min="516" style="7" width="44.14"/>
    <col collapsed="false" customWidth="true" hidden="false" outlineLevel="0" max="517" min="517" style="7" width="6.28"/>
    <col collapsed="false" customWidth="true" hidden="false" outlineLevel="0" max="518" min="518" style="7" width="5.57"/>
    <col collapsed="false" customWidth="true" hidden="false" outlineLevel="0" max="519" min="519" style="7" width="7.7"/>
    <col collapsed="false" customWidth="true" hidden="false" outlineLevel="0" max="521" min="520" style="7" width="8.7"/>
    <col collapsed="false" customWidth="true" hidden="false" outlineLevel="0" max="522" min="522" style="7" width="27.3"/>
    <col collapsed="false" customWidth="false" hidden="false" outlineLevel="0" max="768" min="523" style="7" width="9.14"/>
    <col collapsed="false" customWidth="true" hidden="false" outlineLevel="0" max="769" min="769" style="7" width="6"/>
    <col collapsed="false" customWidth="true" hidden="false" outlineLevel="0" max="770" min="770" style="7" width="33.43"/>
    <col collapsed="false" customWidth="true" hidden="false" outlineLevel="0" max="771" min="771" style="7" width="14.85"/>
    <col collapsed="false" customWidth="true" hidden="false" outlineLevel="0" max="772" min="772" style="7" width="44.14"/>
    <col collapsed="false" customWidth="true" hidden="false" outlineLevel="0" max="773" min="773" style="7" width="6.28"/>
    <col collapsed="false" customWidth="true" hidden="false" outlineLevel="0" max="774" min="774" style="7" width="5.57"/>
    <col collapsed="false" customWidth="true" hidden="false" outlineLevel="0" max="775" min="775" style="7" width="7.7"/>
    <col collapsed="false" customWidth="true" hidden="false" outlineLevel="0" max="777" min="776" style="7" width="8.7"/>
    <col collapsed="false" customWidth="true" hidden="false" outlineLevel="0" max="778" min="778" style="7" width="27.3"/>
    <col collapsed="false" customWidth="false" hidden="false" outlineLevel="0" max="1024" min="779" style="7" width="9.14"/>
  </cols>
  <sheetData>
    <row r="1" customFormat="false" ht="12.75" hidden="false" customHeight="false" outlineLevel="0" collapsed="false">
      <c r="L1" s="13" t="s">
        <v>42</v>
      </c>
    </row>
    <row r="2" customFormat="false" ht="15" hidden="false" customHeight="false" outlineLevel="0" collapsed="false">
      <c r="E2" s="7" t="s">
        <v>43</v>
      </c>
      <c r="F2" s="14" t="s">
        <v>44</v>
      </c>
      <c r="L2" s="13" t="s">
        <v>45</v>
      </c>
    </row>
    <row r="3" customFormat="false" ht="18" hidden="false" customHeight="false" outlineLevel="0" collapsed="false">
      <c r="L3" s="15" t="s">
        <v>46</v>
      </c>
    </row>
    <row r="4" customFormat="false" ht="25.5" hidden="false" customHeight="false" outlineLevel="0" collapsed="false">
      <c r="A4" s="16" t="s">
        <v>47</v>
      </c>
      <c r="B4" s="16"/>
      <c r="C4" s="16" t="s">
        <v>48</v>
      </c>
      <c r="D4" s="17" t="s">
        <v>49</v>
      </c>
      <c r="E4" s="16" t="s">
        <v>50</v>
      </c>
      <c r="F4" s="18" t="s">
        <v>51</v>
      </c>
      <c r="G4" s="17" t="s">
        <v>52</v>
      </c>
      <c r="H4" s="17" t="s">
        <v>53</v>
      </c>
      <c r="I4" s="19" t="s">
        <v>54</v>
      </c>
      <c r="J4" s="19" t="s">
        <v>55</v>
      </c>
      <c r="K4" s="16" t="s">
        <v>56</v>
      </c>
      <c r="L4" s="20" t="s">
        <v>57</v>
      </c>
    </row>
    <row r="5" s="25" customFormat="true" ht="28.15" hidden="false" customHeight="false" outlineLevel="0" collapsed="false">
      <c r="A5" s="21" t="s">
        <v>58</v>
      </c>
      <c r="B5" s="21" t="s">
        <v>59</v>
      </c>
      <c r="C5" s="21" t="s">
        <v>60</v>
      </c>
      <c r="D5" s="22" t="s">
        <v>61</v>
      </c>
      <c r="E5" s="21" t="s">
        <v>62</v>
      </c>
      <c r="F5" s="23" t="s">
        <v>63</v>
      </c>
      <c r="G5" s="22" t="s">
        <v>64</v>
      </c>
      <c r="H5" s="22"/>
      <c r="I5" s="21" t="s">
        <v>58</v>
      </c>
      <c r="J5" s="24"/>
      <c r="K5" s="21"/>
      <c r="L5" s="20" t="s">
        <v>65</v>
      </c>
    </row>
    <row r="6" customFormat="false" ht="28.15" hidden="false" customHeight="false" outlineLevel="0" collapsed="false">
      <c r="A6" s="21" t="s">
        <v>58</v>
      </c>
      <c r="B6" s="21" t="s">
        <v>66</v>
      </c>
      <c r="C6" s="26" t="str">
        <f aca="false">com.sun.star.sheet.addin.Analysis.getDec2Hex(0)</f>
        <v>0</v>
      </c>
      <c r="D6" s="22" t="s">
        <v>67</v>
      </c>
      <c r="E6" s="27" t="s">
        <v>68</v>
      </c>
      <c r="F6" s="28" t="s">
        <v>69</v>
      </c>
      <c r="G6" s="22" t="s">
        <v>64</v>
      </c>
      <c r="H6" s="29" t="s">
        <v>70</v>
      </c>
      <c r="I6" s="21" t="s">
        <v>58</v>
      </c>
      <c r="J6" s="30" t="s">
        <v>71</v>
      </c>
      <c r="K6" s="27"/>
      <c r="L6" s="20" t="s">
        <v>72</v>
      </c>
    </row>
    <row r="7" customFormat="false" ht="14.2" hidden="false" customHeight="false" outlineLevel="0" collapsed="false">
      <c r="A7" s="21" t="s">
        <v>58</v>
      </c>
      <c r="B7" s="21" t="s">
        <v>73</v>
      </c>
      <c r="C7" s="26" t="str">
        <f aca="false">com.sun.star.sheet.addin.Analysis.getDec2Hex(com.sun.star.sheet.addin.Analysis.getHex2Dec(C6)+4)</f>
        <v>4</v>
      </c>
      <c r="D7" s="22" t="s">
        <v>74</v>
      </c>
      <c r="E7" s="27" t="s">
        <v>68</v>
      </c>
      <c r="F7" s="28" t="s">
        <v>69</v>
      </c>
      <c r="G7" s="22" t="s">
        <v>64</v>
      </c>
      <c r="H7" s="29" t="s">
        <v>70</v>
      </c>
      <c r="I7" s="21" t="s">
        <v>58</v>
      </c>
      <c r="J7" s="30" t="s">
        <v>75</v>
      </c>
      <c r="K7" s="27"/>
      <c r="L7" s="20" t="s">
        <v>76</v>
      </c>
    </row>
    <row r="8" customFormat="false" ht="14.2" hidden="false" customHeight="false" outlineLevel="0" collapsed="false">
      <c r="A8" s="21" t="s">
        <v>58</v>
      </c>
      <c r="B8" s="31" t="s">
        <v>77</v>
      </c>
      <c r="C8" s="26" t="str">
        <f aca="false">com.sun.star.sheet.addin.Analysis.getDec2Hex(com.sun.star.sheet.addin.Analysis.getHex2Dec(C7)+4)</f>
        <v>8</v>
      </c>
      <c r="D8" s="14" t="s">
        <v>78</v>
      </c>
      <c r="E8" s="32" t="s">
        <v>68</v>
      </c>
      <c r="F8" s="33" t="s">
        <v>79</v>
      </c>
      <c r="G8" s="34" t="s">
        <v>64</v>
      </c>
      <c r="H8" s="35" t="s">
        <v>80</v>
      </c>
      <c r="I8" s="21" t="s">
        <v>58</v>
      </c>
      <c r="J8" s="36" t="s">
        <v>81</v>
      </c>
      <c r="K8" s="32"/>
      <c r="L8" s="20" t="s">
        <v>82</v>
      </c>
    </row>
    <row r="9" s="25" customFormat="true" ht="15" hidden="false" customHeight="false" outlineLevel="0" collapsed="false">
      <c r="A9" s="37"/>
      <c r="B9" s="37" t="s">
        <v>83</v>
      </c>
      <c r="C9" s="38"/>
      <c r="D9" s="39" t="s">
        <v>84</v>
      </c>
      <c r="E9" s="37" t="s">
        <v>85</v>
      </c>
      <c r="F9" s="40" t="s">
        <v>63</v>
      </c>
      <c r="G9" s="37"/>
      <c r="H9" s="41" t="s">
        <v>80</v>
      </c>
      <c r="I9" s="42" t="s">
        <v>86</v>
      </c>
      <c r="J9" s="43" t="s">
        <v>87</v>
      </c>
      <c r="K9" s="37"/>
    </row>
    <row r="10" s="25" customFormat="true" ht="30" hidden="false" customHeight="false" outlineLevel="0" collapsed="false">
      <c r="A10" s="37"/>
      <c r="B10" s="37" t="s">
        <v>88</v>
      </c>
      <c r="C10" s="38"/>
      <c r="D10" s="39" t="s">
        <v>89</v>
      </c>
      <c r="E10" s="37" t="s">
        <v>85</v>
      </c>
      <c r="F10" s="40" t="s">
        <v>90</v>
      </c>
      <c r="G10" s="37"/>
      <c r="H10" s="41" t="s">
        <v>80</v>
      </c>
      <c r="I10" s="42" t="s">
        <v>86</v>
      </c>
      <c r="J10" s="43" t="s">
        <v>87</v>
      </c>
      <c r="K10" s="37"/>
    </row>
    <row r="11" s="25" customFormat="true" ht="15" hidden="false" customHeight="false" outlineLevel="0" collapsed="false">
      <c r="A11" s="37"/>
      <c r="B11" s="37" t="s">
        <v>91</v>
      </c>
      <c r="C11" s="38"/>
      <c r="D11" s="39" t="s">
        <v>92</v>
      </c>
      <c r="E11" s="37" t="s">
        <v>85</v>
      </c>
      <c r="F11" s="40" t="s">
        <v>93</v>
      </c>
      <c r="G11" s="37"/>
      <c r="H11" s="41" t="s">
        <v>80</v>
      </c>
      <c r="I11" s="42" t="s">
        <v>86</v>
      </c>
      <c r="J11" s="43" t="s">
        <v>87</v>
      </c>
      <c r="K11" s="37"/>
    </row>
    <row r="12" s="25" customFormat="true" ht="15" hidden="false" customHeight="false" outlineLevel="0" collapsed="false">
      <c r="A12" s="37"/>
      <c r="B12" s="37" t="s">
        <v>91</v>
      </c>
      <c r="C12" s="38"/>
      <c r="D12" s="39" t="s">
        <v>94</v>
      </c>
      <c r="E12" s="37" t="s">
        <v>85</v>
      </c>
      <c r="F12" s="40" t="s">
        <v>95</v>
      </c>
      <c r="G12" s="37"/>
      <c r="H12" s="41" t="s">
        <v>80</v>
      </c>
      <c r="I12" s="42" t="s">
        <v>86</v>
      </c>
      <c r="J12" s="43" t="s">
        <v>87</v>
      </c>
      <c r="K12" s="37"/>
    </row>
    <row r="13" customFormat="false" ht="14.2" hidden="false" customHeight="false" outlineLevel="0" collapsed="false">
      <c r="A13" s="21" t="s">
        <v>58</v>
      </c>
      <c r="B13" s="21" t="s">
        <v>96</v>
      </c>
      <c r="C13" s="26" t="str">
        <f aca="false">com.sun.star.sheet.addin.Analysis.getDec2Hex(com.sun.star.sheet.addin.Analysis.getHex2Dec(C8)+4)</f>
        <v>C</v>
      </c>
      <c r="D13" s="22" t="s">
        <v>97</v>
      </c>
      <c r="E13" s="27" t="s">
        <v>68</v>
      </c>
      <c r="F13" s="28" t="s">
        <v>69</v>
      </c>
      <c r="G13" s="22" t="s">
        <v>64</v>
      </c>
      <c r="H13" s="29" t="s">
        <v>98</v>
      </c>
      <c r="I13" s="21" t="s">
        <v>58</v>
      </c>
      <c r="J13" s="30" t="s">
        <v>99</v>
      </c>
      <c r="K13" s="27" t="s">
        <v>100</v>
      </c>
      <c r="L13" s="20"/>
    </row>
    <row r="14" customFormat="false" ht="28.15" hidden="false" customHeight="false" outlineLevel="0" collapsed="false">
      <c r="A14" s="21" t="s">
        <v>58</v>
      </c>
      <c r="B14" s="21" t="s">
        <v>101</v>
      </c>
      <c r="C14" s="26" t="str">
        <f aca="false">com.sun.star.sheet.addin.Analysis.getDec2Hex(com.sun.star.sheet.addin.Analysis.getHex2Dec(C13)+4)</f>
        <v>10</v>
      </c>
      <c r="D14" s="22" t="s">
        <v>102</v>
      </c>
      <c r="E14" s="27" t="s">
        <v>68</v>
      </c>
      <c r="F14" s="28" t="s">
        <v>69</v>
      </c>
      <c r="G14" s="22" t="s">
        <v>64</v>
      </c>
      <c r="H14" s="29" t="s">
        <v>98</v>
      </c>
      <c r="I14" s="21" t="s">
        <v>58</v>
      </c>
      <c r="J14" s="30" t="s">
        <v>99</v>
      </c>
      <c r="K14" s="27"/>
    </row>
    <row r="15" s="25" customFormat="true" ht="14.2" hidden="false" customHeight="false" outlineLevel="0" collapsed="false">
      <c r="A15" s="21" t="s">
        <v>58</v>
      </c>
      <c r="B15" s="21" t="s">
        <v>103</v>
      </c>
      <c r="C15" s="26" t="str">
        <f aca="false">com.sun.star.sheet.addin.Analysis.getDec2Hex(com.sun.star.sheet.addin.Analysis.getHex2Dec(C14)+4)</f>
        <v>14</v>
      </c>
      <c r="D15" s="22" t="s">
        <v>104</v>
      </c>
      <c r="E15" s="21" t="s">
        <v>68</v>
      </c>
      <c r="F15" s="23" t="s">
        <v>69</v>
      </c>
      <c r="G15" s="22" t="s">
        <v>64</v>
      </c>
      <c r="H15" s="22" t="s">
        <v>105</v>
      </c>
      <c r="I15" s="21" t="s">
        <v>58</v>
      </c>
      <c r="J15" s="24" t="s">
        <v>99</v>
      </c>
      <c r="K15" s="21"/>
    </row>
    <row r="16" s="25" customFormat="true" ht="14.2" hidden="false" customHeight="false" outlineLevel="0" collapsed="false">
      <c r="A16" s="21" t="s">
        <v>58</v>
      </c>
      <c r="B16" s="21" t="s">
        <v>106</v>
      </c>
      <c r="C16" s="26" t="str">
        <f aca="false">com.sun.star.sheet.addin.Analysis.getDec2Hex(com.sun.star.sheet.addin.Analysis.getHex2Dec(C15)+4)</f>
        <v>18</v>
      </c>
      <c r="D16" s="22" t="s">
        <v>107</v>
      </c>
      <c r="E16" s="21" t="s">
        <v>68</v>
      </c>
      <c r="F16" s="23" t="s">
        <v>69</v>
      </c>
      <c r="G16" s="22" t="s">
        <v>64</v>
      </c>
      <c r="H16" s="22" t="s">
        <v>105</v>
      </c>
      <c r="I16" s="21" t="s">
        <v>58</v>
      </c>
      <c r="J16" s="24" t="s">
        <v>99</v>
      </c>
      <c r="K16" s="21"/>
    </row>
    <row r="17" customFormat="false" ht="15" hidden="false" customHeight="false" outlineLevel="0" collapsed="false">
      <c r="A17" s="44"/>
      <c r="B17" s="44"/>
      <c r="C17" s="44"/>
      <c r="E17" s="44"/>
      <c r="F17" s="44"/>
      <c r="G17" s="44"/>
      <c r="H17" s="44"/>
      <c r="I17" s="44"/>
      <c r="J17" s="44"/>
    </row>
    <row r="18" customFormat="false" ht="15" hidden="false" customHeight="false" outlineLevel="0" collapsed="false">
      <c r="A18" s="44"/>
      <c r="B18" s="44"/>
      <c r="C18" s="44"/>
      <c r="E18" s="44"/>
      <c r="F18" s="44"/>
      <c r="G18" s="44"/>
      <c r="H18" s="44"/>
      <c r="I18" s="44"/>
      <c r="J18" s="44"/>
    </row>
    <row r="19" customFormat="false" ht="15" hidden="false" customHeight="false" outlineLevel="0" collapsed="false">
      <c r="A19" s="44"/>
      <c r="B19" s="44"/>
      <c r="C19" s="44"/>
      <c r="E19" s="44"/>
      <c r="F19" s="44"/>
      <c r="G19" s="44"/>
      <c r="H19" s="44"/>
      <c r="I19" s="44"/>
      <c r="J19" s="44"/>
    </row>
    <row r="20" customFormat="false" ht="15" hidden="false" customHeight="false" outlineLevel="0" collapsed="false">
      <c r="A20" s="44"/>
      <c r="B20" s="44"/>
      <c r="C20" s="44"/>
      <c r="E20" s="44"/>
      <c r="F20" s="44"/>
      <c r="G20" s="44"/>
      <c r="H20" s="44"/>
      <c r="I20" s="44"/>
      <c r="J20" s="44"/>
    </row>
    <row r="21" customFormat="false" ht="15" hidden="false" customHeight="false" outlineLevel="0" collapsed="false">
      <c r="A21" s="44"/>
      <c r="B21" s="44"/>
      <c r="C21" s="44"/>
      <c r="E21" s="44"/>
      <c r="F21" s="44"/>
      <c r="G21" s="44"/>
      <c r="H21" s="44"/>
      <c r="I21" s="44"/>
      <c r="J21" s="44"/>
    </row>
    <row r="22" customFormat="false" ht="15" hidden="false" customHeight="false" outlineLevel="0" collapsed="false">
      <c r="A22" s="44"/>
      <c r="B22" s="44"/>
      <c r="C22" s="44"/>
      <c r="E22" s="44"/>
      <c r="F22" s="44"/>
      <c r="G22" s="44"/>
      <c r="H22" s="44"/>
      <c r="I22" s="44"/>
      <c r="J22" s="44"/>
    </row>
    <row r="23" customFormat="false" ht="15" hidden="false" customHeight="false" outlineLevel="0" collapsed="false">
      <c r="A23" s="44"/>
      <c r="B23" s="44"/>
      <c r="C23" s="44"/>
      <c r="F23" s="44"/>
      <c r="G23" s="44"/>
      <c r="H23" s="44"/>
      <c r="I23" s="44"/>
      <c r="J23" s="44"/>
    </row>
    <row r="24" customFormat="false" ht="15" hidden="false" customHeight="false" outlineLevel="0" collapsed="false">
      <c r="A24" s="44"/>
      <c r="B24" s="44"/>
      <c r="C24" s="44"/>
      <c r="E24" s="44"/>
      <c r="F24" s="44"/>
      <c r="G24" s="44"/>
      <c r="H24" s="44"/>
      <c r="I24" s="44"/>
      <c r="J24" s="44"/>
    </row>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dataValidations count="1">
    <dataValidation allowBlank="true" errorStyle="stop" operator="between" showDropDown="false" showErrorMessage="true" showInputMessage="true" sqref="F2" type="list">
      <formula1>"Windows,Linux"</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docProps/app.xml><?xml version="1.0" encoding="utf-8"?>
<Properties xmlns="http://schemas.openxmlformats.org/officeDocument/2006/extended-properties" xmlns:vt="http://schemas.openxmlformats.org/officeDocument/2006/docPropsVTypes">
  <Template/>
  <TotalTime>22</TotalTime>
  <Application>LibreOffice/7.3.7.2$Linux_X86_64 LibreOffice_project/30$Build-2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2013-05-24T07:36:42Z</dcterms:created>
  <dc:creator>User</dc:creator>
  <dc:description/>
  <dc:language>en-US</dc:language>
  <cp:lastModifiedBy/>
  <cp:lastPrinted>2013-05-29T13:36:37Z</cp:lastPrinted>
  <dcterms:modified xsi:type="dcterms:W3CDTF">2024-01-22T11:37:04Z</dcterms:modified>
  <cp:revision>3</cp:revision>
  <dc:subject/>
  <dc:title/>
</cp:coreProperties>
</file>

<file path=docProps/custom.xml><?xml version="1.0" encoding="utf-8"?>
<Properties xmlns="http://schemas.openxmlformats.org/officeDocument/2006/custom-properties" xmlns:vt="http://schemas.openxmlformats.org/officeDocument/2006/docPropsVTypes"/>
</file>